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tre-my.sharepoint.com/personal/jbranning_mitre_org/Documents/College/Research/MultiSpectLED/"/>
    </mc:Choice>
  </mc:AlternateContent>
  <xr:revisionPtr revIDLastSave="14" documentId="8_{1A10629C-7DF9-E448-9FAE-AD9294094A6B}" xr6:coauthVersionLast="47" xr6:coauthVersionMax="47" xr10:uidLastSave="{7516F3EE-933B-0047-85A6-4124AD3D3216}"/>
  <bookViews>
    <workbookView xWindow="19000" yWindow="3140" windowWidth="28600" windowHeight="21060" xr2:uid="{22D7BFE3-EB7C-A446-A06F-CF2232C93635}"/>
  </bookViews>
  <sheets>
    <sheet name="MultiSpectLED-V3-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</calcChain>
</file>

<file path=xl/sharedStrings.xml><?xml version="1.0" encoding="utf-8"?>
<sst xmlns="http://schemas.openxmlformats.org/spreadsheetml/2006/main" count="107" uniqueCount="107">
  <si>
    <t>Reference</t>
  </si>
  <si>
    <t>Qty</t>
  </si>
  <si>
    <t>Value</t>
  </si>
  <si>
    <t>Description</t>
  </si>
  <si>
    <t>10uF</t>
  </si>
  <si>
    <t>1uF</t>
  </si>
  <si>
    <t>D1,D16,D31,D46,D61,D76,D91,D106</t>
  </si>
  <si>
    <t>280nm</t>
  </si>
  <si>
    <t>D2,D17,D32,D47,D62,D77,D92,D107</t>
  </si>
  <si>
    <t>367nm</t>
  </si>
  <si>
    <t>D3,D18,D33,D48,D63,D78,D93,D108</t>
  </si>
  <si>
    <t>405nm</t>
  </si>
  <si>
    <t>D4,D19,D34,D49,D64,D79,D94,D109</t>
  </si>
  <si>
    <t>448nm</t>
  </si>
  <si>
    <t>D5,D20,D35,D50,D65,D80,D95,D110</t>
  </si>
  <si>
    <t>470nm</t>
  </si>
  <si>
    <t>D6,D21,D36,D51,D66,D81,D96,D111</t>
  </si>
  <si>
    <t>505nm</t>
  </si>
  <si>
    <t>D7,D22,D37,D52,D67,D82,D97,D112</t>
  </si>
  <si>
    <t>530nm</t>
  </si>
  <si>
    <t>D8,D23,D38,D53,D68,D83,D98,D113</t>
  </si>
  <si>
    <t>568nm</t>
  </si>
  <si>
    <t>D9,D24,D39,D54,D69,D84,D99,D114</t>
  </si>
  <si>
    <t>591nm</t>
  </si>
  <si>
    <t>D10,D25,D40,D55,D70,D85,D100,D115</t>
  </si>
  <si>
    <t>617nm</t>
  </si>
  <si>
    <t>D11,D26,D41,D56,D71,D86,D101,D116</t>
  </si>
  <si>
    <t>627nm</t>
  </si>
  <si>
    <t>D12,D27,D42,D57,D72,D87,D102,D117</t>
  </si>
  <si>
    <t>655nm</t>
  </si>
  <si>
    <t>D13,D28,D43,D58,D73,D88,D103,D118</t>
  </si>
  <si>
    <t>740nm</t>
  </si>
  <si>
    <t>D14,D29,D44,D59,D74,D89,D104,D119</t>
  </si>
  <si>
    <t>850nm</t>
  </si>
  <si>
    <t>D15,D30,D45,D60,D75,D90,D105,D120</t>
  </si>
  <si>
    <t>940nm</t>
  </si>
  <si>
    <t>M3 Mounting Hole</t>
  </si>
  <si>
    <t>J1</t>
  </si>
  <si>
    <t>Screw_Terminal_01x02</t>
  </si>
  <si>
    <t>L1,L2,L3,L4,L5,L6,L7,L8,L9,L10,L11,L12,L13,L14,L15,L16,L17,L18,L19,L20,L21,L22,L23,L24,L25,L26,L27,L28,L29,L30,L31,L32,L33,L34,L35,L36,L37,L38,L39,L40,L41,L42,L43,L44,L45,L46,L47,L48,L49,L50,L51,L52,L53,L54,L55,L56,L57,L58,L59,L60,L61,L62,L63,L64,L65,L66,L67,L68,L69,L70,L71,L72,L73,L74,L75,L76,L77,L78,L79,L80,L81,L82,L83,L84,L85,L86,L87,L88,L89,L90,L91,L92,L93,L94,L95,L96,L97,L98,L99,L100,L101,L102,L103,L104,L105,L106,L107,L108,L109,L110,L111,L112,L113,L114,L115,L116,L117,L118,L119,L120</t>
  </si>
  <si>
    <t>4.7u</t>
  </si>
  <si>
    <t>Q1,Q6,Q7,Q8,Q9,Q14,Q15,Q16,Q17</t>
  </si>
  <si>
    <t>DMG2301L</t>
  </si>
  <si>
    <t>-3A Id, -20V Vds, P-Channel MOSFET, SOT-23</t>
  </si>
  <si>
    <t>Q2,Q3,Q4,Q5,Q10,Q11,Q12,Q13</t>
  </si>
  <si>
    <t>BC817</t>
  </si>
  <si>
    <t>0.8A Ic, 45V Vce, NPN Transistor, SOT-23</t>
  </si>
  <si>
    <t>R1,R2,R3,R4,R5,R6,R7,R8,R9,R10,R11,R12,R13,R14,R15,R16,R17,R18,R19,R20,R21,R27,R28,R29,R30,R31,R37,R38,R39,R40,R41,R47,R48,R49,R50,R51,R57,R58,R59,R60,R61,R67,R68,R69,R70,R71,R77,R78,R79,R80,R81,R87,R88,R89,R90,R91,R97,R98,R99,R100,R101,R107,R108,R109,R110,R111,R117,R118,R119,R120,R121,R127,R128,R129,R130,R131,R137,R138,R139,R140,R141,R147,R148,R149,R150,R151,R157,R158,R159,R160,R161,R167,R168,R169,R170,R171,R177,R178,R179,R180,R181,R187,R188,R189,R190,R191,R197,R198,R199,R200,R201,R207,R208,R209,R210,R211,R217,R218,R219,R220,R221,R227,R228,R229,R230,R231,R237,R238,R239,R240,R241,R247,R248,R249,R250,R251</t>
  </si>
  <si>
    <t>100K</t>
  </si>
  <si>
    <t>R22,R23,R24,R25,R26,R32,R33,R34,R35,R36,R42,R43,R44,R45,R46,R52,R53,R54,R55,R56,R62,R63,R64,R65,R66,R72,R73,R74,R75,R76,R82,R83,R84,R85,R86,R92,R93,R94,R95,R96,R102,R103,R104,R105,R106,R112,R113,R114,R115,R116,R122,R123,R124,R125,R126,R132,R133,R134,R135,R136,R142,R143,R144,R145,R146,R152,R153,R154,R155,R156,R162,R163,R164,R165,R166,R172,R173,R174,R175,R176,R182,R183,R184,R185,R186,R192,R193,R194,R195,R196,R202,R203,R204,R205,R206,R212,R213,R214,R215,R216,R222,R223,R224,R225,R226,R232,R233,R234,R235,R236,R242,R243,R244,R245,R246,R252,R253,R254,R255,R256</t>
  </si>
  <si>
    <t>U1</t>
  </si>
  <si>
    <t>U2,U3,U4,U5,U6,U7,U8,U9,U10,U11,U12,U13,U14,U15,U16,U17,U18,U19,U20,U21,U22,U23,U24,U25,U26,U27,U28,U29,U30,U31,U32,U33,U34,U35,U36,U37,U38,U39,U40,U41,U42,U43,U44,U45,U46,U47,U48,U49,U50,U51,U52,U53,U54,U55,U56,U57,U58,U59,U60,U61,U62,U63,U64,U65,U66,U67,U68,U69,U70,U71,U72,U73,U74,U75,U76,U77,U78,U79,U80,U81,U82,U83,U84,U85,U86,U87,U88,U89,U90,U91,U92,U93,U94,U95,U96,U97,U98,U99,U100,U101,U102,U103,U104,U105,U106,U107,U108,U109,U110,U111,U112,U113,U114,U115,U116,U117,U118,U119,U120,U121</t>
  </si>
  <si>
    <t>PAM2804</t>
  </si>
  <si>
    <t>Item</t>
  </si>
  <si>
    <t>Manufacturer Part Number</t>
  </si>
  <si>
    <t>CAP CER 10UF 16V X5R 0805</t>
  </si>
  <si>
    <t>GRM21BR61C106KE15L</t>
  </si>
  <si>
    <t>CAP CER 1UF 16V X5R 0805</t>
  </si>
  <si>
    <t>GRM21BR61C105KA01L</t>
  </si>
  <si>
    <t>LED, UV, 270nm</t>
  </si>
  <si>
    <t>XBT-3535-UV-A130-CD270-00</t>
  </si>
  <si>
    <t>LED, UV, 367nm</t>
  </si>
  <si>
    <t>CUN6GF1A</t>
  </si>
  <si>
    <t>LED, UV, 405nm</t>
  </si>
  <si>
    <t>ELUA3535OGB-P0010U23240500-VD1M</t>
  </si>
  <si>
    <t>LED, VIS, 448nm, Blue</t>
  </si>
  <si>
    <t>LXML-PR01-0500</t>
  </si>
  <si>
    <t>LED, VIS, 470nm, Blue</t>
  </si>
  <si>
    <t>LXML-PB01-0040</t>
  </si>
  <si>
    <t>LED, VIS, 505nm, Cyan</t>
  </si>
  <si>
    <t>LXML-PE01-0070</t>
  </si>
  <si>
    <t>LED, VIS, 530nm, Green</t>
  </si>
  <si>
    <t>LXML-PM01-0100</t>
  </si>
  <si>
    <t>LED, VIS, 568nm, Line</t>
  </si>
  <si>
    <t>LXML-PX02-0000</t>
  </si>
  <si>
    <t>LED, VIS, 591nm, Amber</t>
  </si>
  <si>
    <t>LXM2-PL01-0000</t>
  </si>
  <si>
    <t>LED, VIS, 617nm, Orange</t>
  </si>
  <si>
    <t>LXM2-PH01-0070</t>
  </si>
  <si>
    <t>LED, VIS, 627nm, Red</t>
  </si>
  <si>
    <t>LXM2-PD01-0050</t>
  </si>
  <si>
    <t>LED, VIS, 655nm, Red</t>
  </si>
  <si>
    <t>LXM3-PD01</t>
  </si>
  <si>
    <t>LED, IR, 740nm</t>
  </si>
  <si>
    <t>QBHP684-IR4BU</t>
  </si>
  <si>
    <t>LED, IR, 850nm</t>
  </si>
  <si>
    <t>QBHP684U-IRU</t>
  </si>
  <si>
    <t>LED, IR, 940nm</t>
  </si>
  <si>
    <t>QBHP684-IR1BU</t>
  </si>
  <si>
    <t>FIXED IND 4.7UH 920MA 260MOHM SM</t>
  </si>
  <si>
    <t>CBC2518T4R7M</t>
  </si>
  <si>
    <t>DMG2301L-7</t>
  </si>
  <si>
    <t>BC817-40-7-F</t>
  </si>
  <si>
    <t>RES 100K OHM 1% 1/3W 0805</t>
  </si>
  <si>
    <t>CRGH0805F100K</t>
  </si>
  <si>
    <t>RES 0.2 OHM 1% 1/3W 0805</t>
  </si>
  <si>
    <t>RL1220S-R20-F</t>
  </si>
  <si>
    <t>RASPBERRY PI PICO 2 WH RP2350</t>
  </si>
  <si>
    <t>SC1634</t>
  </si>
  <si>
    <t>IC LED DRIVER RGLTR 1A TSOT25</t>
  </si>
  <si>
    <t>PAM2804AAB010</t>
  </si>
  <si>
    <t>C1,C2,C3,C4,C5,C11,C12,C13,C14,C15,C21,C22,C23,C24,C25,C31,C32,C33,C34,C35,C41,C42,C43,C44,C45,C51,C52,C53,C54,C55,C61,C62,C63,C64,C65,C71,C72,C73,C74,C75,C81,C82,C83,C84,C85,C91,C92,C93,C94,C95,C101,C102,C103,C104,C105,C111,C112,C113,C114,C115,C121,C122,C123,C124,C125,C131,C132,C133,C134,C135,C141,C142,C143,C144,C145,C151,C152,C153,C154,C155,C161,C162,C163,C164,C165,C171,C172,C173,C174,C175,C181,C182,C183,C184,C185,C191,C192,C193,C194,C195,C201,C202,C203,C204,C205,C211,C212,C213,C214,C215,C221,C222,C223,C224,C225,C231,C232,C233,C234,C235</t>
  </si>
  <si>
    <t>C6,C7,C8,C9,C10,C16,C17,C18,C19,C20,C26,C27,C28,C29,C30,C36,C37,C38,C39,C40,C46,C47,C48,C49,C50,C56,C57,C58,C59,C60,C66,C67,C68,C69,C70,C76,C77,C78,C79,C80,C86,C87,C88,C89,C90,C96,C97,C98,C99,C100,C106,C107,C108,C109,C110,C116,C117,C118,C119,C120,C126,C127,C128,C129,C130,C136,C137,C138,C139,C140,C146,C147,C148,C149,C150,C156,C157,C158,C159,C160,C166,C167,C168,C169,C170,C176,C177,C178,C179,C180,C186,C187,C188,C189,C190,C196,C197,C198,C199,C200,C206,C207,C208,C209,C210,C216,C217,C218,C219,C220,C226,C227,C228,C229,C230,C236,C237,C238,C239,C240</t>
  </si>
  <si>
    <t>H1,H2,H3,H4</t>
  </si>
  <si>
    <t>RaspberryPi_Pico2_SM</t>
  </si>
  <si>
    <t>N/A</t>
  </si>
  <si>
    <t>Mounting Hole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</si>
</sst>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18" fillId="0" borderId="0" xfId="0" applyFont="1" applyAlignment="1">
      <alignment horizontal="center" vertical="top"/>
    </xf>
    <xf numFmtId="0" fontId="16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16" fillId="0" borderId="0" xfId="0" applyFont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F58B4-98AF-BB4C-88B8-97641155DC2C}">
  <dimension ref="A1:F29"/>
  <sheetViews>
    <sheetView tabSelected="1" workbookViewId="0">
      <selection activeCell="H5" sqref="H5:H20"/>
    </sheetView>
  </sheetViews>
  <sheetFormatPr baseColWidth="10" defaultRowHeight="16" x14ac:dyDescent="0.2"/>
  <cols>
    <col min="1" max="1" width="10.83203125" style="1"/>
    <col min="2" max="2" width="50.83203125" style="2" customWidth="1"/>
    <col min="3" max="3" width="4.1640625" style="8" bestFit="1" customWidth="1"/>
    <col min="4" max="4" width="19.83203125" style="8" bestFit="1" customWidth="1"/>
    <col min="5" max="5" width="35" style="2" bestFit="1" customWidth="1"/>
    <col min="6" max="6" width="34" style="5" bestFit="1" customWidth="1"/>
  </cols>
  <sheetData>
    <row r="1" spans="1:6" ht="17" x14ac:dyDescent="0.2">
      <c r="A1" s="3" t="s">
        <v>53</v>
      </c>
      <c r="B1" s="4" t="s">
        <v>0</v>
      </c>
      <c r="C1" s="6" t="s">
        <v>1</v>
      </c>
      <c r="D1" s="6" t="s">
        <v>2</v>
      </c>
      <c r="E1" s="9" t="s">
        <v>3</v>
      </c>
      <c r="F1" s="7" t="s">
        <v>54</v>
      </c>
    </row>
    <row r="2" spans="1:6" ht="187" x14ac:dyDescent="0.2">
      <c r="A2" s="1">
        <v>1</v>
      </c>
      <c r="B2" s="2" t="s">
        <v>101</v>
      </c>
      <c r="C2" s="8">
        <v>120</v>
      </c>
      <c r="D2" s="8" t="s">
        <v>4</v>
      </c>
      <c r="E2" s="5" t="s">
        <v>55</v>
      </c>
      <c r="F2" s="5" t="s">
        <v>56</v>
      </c>
    </row>
    <row r="3" spans="1:6" ht="187" x14ac:dyDescent="0.2">
      <c r="A3" s="1">
        <f>A2+1</f>
        <v>2</v>
      </c>
      <c r="B3" s="2" t="s">
        <v>102</v>
      </c>
      <c r="C3" s="8">
        <v>120</v>
      </c>
      <c r="D3" s="8" t="s">
        <v>5</v>
      </c>
      <c r="E3" s="2" t="s">
        <v>57</v>
      </c>
      <c r="F3" s="5" t="s">
        <v>58</v>
      </c>
    </row>
    <row r="4" spans="1:6" ht="17" x14ac:dyDescent="0.2">
      <c r="A4" s="1">
        <f t="shared" ref="A4:A29" si="0">A3+1</f>
        <v>3</v>
      </c>
      <c r="B4" s="2" t="s">
        <v>6</v>
      </c>
      <c r="C4" s="8">
        <v>8</v>
      </c>
      <c r="D4" s="8" t="s">
        <v>7</v>
      </c>
      <c r="E4" s="5" t="s">
        <v>59</v>
      </c>
      <c r="F4" s="5" t="s">
        <v>60</v>
      </c>
    </row>
    <row r="5" spans="1:6" ht="17" x14ac:dyDescent="0.2">
      <c r="A5" s="1">
        <f t="shared" si="0"/>
        <v>4</v>
      </c>
      <c r="B5" s="2" t="s">
        <v>8</v>
      </c>
      <c r="C5" s="8">
        <v>8</v>
      </c>
      <c r="D5" s="8" t="s">
        <v>9</v>
      </c>
      <c r="E5" s="5" t="s">
        <v>61</v>
      </c>
      <c r="F5" s="5" t="s">
        <v>62</v>
      </c>
    </row>
    <row r="6" spans="1:6" ht="17" x14ac:dyDescent="0.2">
      <c r="A6" s="1">
        <f t="shared" si="0"/>
        <v>5</v>
      </c>
      <c r="B6" s="2" t="s">
        <v>10</v>
      </c>
      <c r="C6" s="8">
        <v>8</v>
      </c>
      <c r="D6" s="8" t="s">
        <v>11</v>
      </c>
      <c r="E6" s="5" t="s">
        <v>63</v>
      </c>
      <c r="F6" s="5" t="s">
        <v>64</v>
      </c>
    </row>
    <row r="7" spans="1:6" ht="17" x14ac:dyDescent="0.2">
      <c r="A7" s="1">
        <f t="shared" si="0"/>
        <v>6</v>
      </c>
      <c r="B7" s="2" t="s">
        <v>12</v>
      </c>
      <c r="C7" s="8">
        <v>8</v>
      </c>
      <c r="D7" s="8" t="s">
        <v>13</v>
      </c>
      <c r="E7" s="5" t="s">
        <v>65</v>
      </c>
      <c r="F7" s="5" t="s">
        <v>66</v>
      </c>
    </row>
    <row r="8" spans="1:6" ht="17" x14ac:dyDescent="0.2">
      <c r="A8" s="1">
        <f t="shared" si="0"/>
        <v>7</v>
      </c>
      <c r="B8" s="2" t="s">
        <v>14</v>
      </c>
      <c r="C8" s="8">
        <v>8</v>
      </c>
      <c r="D8" s="8" t="s">
        <v>15</v>
      </c>
      <c r="E8" s="5" t="s">
        <v>67</v>
      </c>
      <c r="F8" s="5" t="s">
        <v>68</v>
      </c>
    </row>
    <row r="9" spans="1:6" ht="17" x14ac:dyDescent="0.2">
      <c r="A9" s="1">
        <f t="shared" si="0"/>
        <v>8</v>
      </c>
      <c r="B9" s="2" t="s">
        <v>16</v>
      </c>
      <c r="C9" s="8">
        <v>8</v>
      </c>
      <c r="D9" s="8" t="s">
        <v>17</v>
      </c>
      <c r="E9" s="5" t="s">
        <v>69</v>
      </c>
      <c r="F9" s="5" t="s">
        <v>70</v>
      </c>
    </row>
    <row r="10" spans="1:6" ht="17" x14ac:dyDescent="0.2">
      <c r="A10" s="1">
        <f t="shared" si="0"/>
        <v>9</v>
      </c>
      <c r="B10" s="2" t="s">
        <v>18</v>
      </c>
      <c r="C10" s="8">
        <v>8</v>
      </c>
      <c r="D10" s="8" t="s">
        <v>19</v>
      </c>
      <c r="E10" s="5" t="s">
        <v>71</v>
      </c>
      <c r="F10" s="5" t="s">
        <v>72</v>
      </c>
    </row>
    <row r="11" spans="1:6" ht="17" x14ac:dyDescent="0.2">
      <c r="A11" s="1">
        <f t="shared" si="0"/>
        <v>10</v>
      </c>
      <c r="B11" s="2" t="s">
        <v>20</v>
      </c>
      <c r="C11" s="8">
        <v>8</v>
      </c>
      <c r="D11" s="8" t="s">
        <v>21</v>
      </c>
      <c r="E11" s="5" t="s">
        <v>73</v>
      </c>
      <c r="F11" s="5" t="s">
        <v>74</v>
      </c>
    </row>
    <row r="12" spans="1:6" ht="17" x14ac:dyDescent="0.2">
      <c r="A12" s="1">
        <f t="shared" si="0"/>
        <v>11</v>
      </c>
      <c r="B12" s="2" t="s">
        <v>22</v>
      </c>
      <c r="C12" s="8">
        <v>8</v>
      </c>
      <c r="D12" s="8" t="s">
        <v>23</v>
      </c>
      <c r="E12" s="5" t="s">
        <v>75</v>
      </c>
      <c r="F12" s="5" t="s">
        <v>76</v>
      </c>
    </row>
    <row r="13" spans="1:6" ht="17" x14ac:dyDescent="0.2">
      <c r="A13" s="1">
        <f t="shared" si="0"/>
        <v>12</v>
      </c>
      <c r="B13" s="2" t="s">
        <v>24</v>
      </c>
      <c r="C13" s="8">
        <v>8</v>
      </c>
      <c r="D13" s="8" t="s">
        <v>25</v>
      </c>
      <c r="E13" s="5" t="s">
        <v>77</v>
      </c>
      <c r="F13" s="5" t="s">
        <v>78</v>
      </c>
    </row>
    <row r="14" spans="1:6" ht="17" x14ac:dyDescent="0.2">
      <c r="A14" s="1">
        <f t="shared" si="0"/>
        <v>13</v>
      </c>
      <c r="B14" s="2" t="s">
        <v>26</v>
      </c>
      <c r="C14" s="8">
        <v>8</v>
      </c>
      <c r="D14" s="8" t="s">
        <v>27</v>
      </c>
      <c r="E14" s="5" t="s">
        <v>79</v>
      </c>
      <c r="F14" s="5" t="s">
        <v>80</v>
      </c>
    </row>
    <row r="15" spans="1:6" ht="17" x14ac:dyDescent="0.2">
      <c r="A15" s="1">
        <f t="shared" si="0"/>
        <v>14</v>
      </c>
      <c r="B15" s="2" t="s">
        <v>28</v>
      </c>
      <c r="C15" s="8">
        <v>8</v>
      </c>
      <c r="D15" s="8" t="s">
        <v>29</v>
      </c>
      <c r="E15" s="5" t="s">
        <v>81</v>
      </c>
      <c r="F15" s="5" t="s">
        <v>82</v>
      </c>
    </row>
    <row r="16" spans="1:6" ht="17" x14ac:dyDescent="0.2">
      <c r="A16" s="1">
        <f t="shared" si="0"/>
        <v>15</v>
      </c>
      <c r="B16" s="2" t="s">
        <v>30</v>
      </c>
      <c r="C16" s="8">
        <v>8</v>
      </c>
      <c r="D16" s="8" t="s">
        <v>31</v>
      </c>
      <c r="E16" s="5" t="s">
        <v>83</v>
      </c>
      <c r="F16" s="5" t="s">
        <v>84</v>
      </c>
    </row>
    <row r="17" spans="1:6" ht="17" x14ac:dyDescent="0.2">
      <c r="A17" s="1">
        <f t="shared" si="0"/>
        <v>16</v>
      </c>
      <c r="B17" s="2" t="s">
        <v>32</v>
      </c>
      <c r="C17" s="8">
        <v>8</v>
      </c>
      <c r="D17" s="8" t="s">
        <v>33</v>
      </c>
      <c r="E17" s="5" t="s">
        <v>85</v>
      </c>
      <c r="F17" s="5" t="s">
        <v>86</v>
      </c>
    </row>
    <row r="18" spans="1:6" ht="17" x14ac:dyDescent="0.2">
      <c r="A18" s="1">
        <f t="shared" si="0"/>
        <v>17</v>
      </c>
      <c r="B18" s="2" t="s">
        <v>34</v>
      </c>
      <c r="C18" s="8">
        <v>8</v>
      </c>
      <c r="D18" s="8" t="s">
        <v>35</v>
      </c>
      <c r="E18" s="5" t="s">
        <v>87</v>
      </c>
      <c r="F18" s="5" t="s">
        <v>88</v>
      </c>
    </row>
    <row r="19" spans="1:6" ht="17" x14ac:dyDescent="0.2">
      <c r="A19" s="1">
        <f t="shared" si="0"/>
        <v>18</v>
      </c>
      <c r="B19" s="2" t="s">
        <v>103</v>
      </c>
      <c r="C19" s="8">
        <v>4</v>
      </c>
      <c r="D19" s="8" t="s">
        <v>36</v>
      </c>
      <c r="E19" s="5" t="s">
        <v>106</v>
      </c>
      <c r="F19" s="5" t="s">
        <v>105</v>
      </c>
    </row>
    <row r="20" spans="1:6" ht="17" x14ac:dyDescent="0.2">
      <c r="A20" s="1">
        <f t="shared" si="0"/>
        <v>19</v>
      </c>
      <c r="B20" s="2" t="s">
        <v>37</v>
      </c>
      <c r="C20" s="8">
        <v>1</v>
      </c>
      <c r="D20" s="8" t="s">
        <v>38</v>
      </c>
      <c r="F20" s="5">
        <v>393900102</v>
      </c>
    </row>
    <row r="21" spans="1:6" ht="153" x14ac:dyDescent="0.2">
      <c r="A21" s="1">
        <f t="shared" si="0"/>
        <v>20</v>
      </c>
      <c r="B21" s="2" t="s">
        <v>39</v>
      </c>
      <c r="C21" s="8">
        <v>120</v>
      </c>
      <c r="D21" s="8" t="s">
        <v>40</v>
      </c>
      <c r="E21" s="5" t="s">
        <v>89</v>
      </c>
      <c r="F21" s="5" t="s">
        <v>90</v>
      </c>
    </row>
    <row r="22" spans="1:6" ht="34" x14ac:dyDescent="0.2">
      <c r="A22" s="1">
        <f t="shared" si="0"/>
        <v>21</v>
      </c>
      <c r="B22" s="2" t="s">
        <v>41</v>
      </c>
      <c r="C22" s="8">
        <v>9</v>
      </c>
      <c r="D22" s="8" t="s">
        <v>42</v>
      </c>
      <c r="E22" s="2" t="s">
        <v>43</v>
      </c>
      <c r="F22" s="5" t="s">
        <v>91</v>
      </c>
    </row>
    <row r="23" spans="1:6" ht="17" x14ac:dyDescent="0.2">
      <c r="A23" s="1">
        <f t="shared" si="0"/>
        <v>22</v>
      </c>
      <c r="B23" s="2" t="s">
        <v>44</v>
      </c>
      <c r="C23" s="8">
        <v>8</v>
      </c>
      <c r="D23" s="8" t="s">
        <v>45</v>
      </c>
      <c r="E23" s="2" t="s">
        <v>46</v>
      </c>
      <c r="F23" s="5" t="s">
        <v>92</v>
      </c>
    </row>
    <row r="24" spans="1:6" ht="204" x14ac:dyDescent="0.2">
      <c r="A24" s="1">
        <f t="shared" si="0"/>
        <v>23</v>
      </c>
      <c r="B24" s="2" t="s">
        <v>47</v>
      </c>
      <c r="C24" s="8">
        <v>136</v>
      </c>
      <c r="D24" s="8" t="s">
        <v>48</v>
      </c>
      <c r="E24" s="5" t="s">
        <v>93</v>
      </c>
      <c r="F24" s="5" t="s">
        <v>94</v>
      </c>
    </row>
    <row r="25" spans="1:6" ht="187" x14ac:dyDescent="0.2">
      <c r="A25" s="1">
        <f t="shared" si="0"/>
        <v>24</v>
      </c>
      <c r="B25" s="2" t="s">
        <v>49</v>
      </c>
      <c r="C25" s="8">
        <v>120</v>
      </c>
      <c r="D25" s="8">
        <v>0.2</v>
      </c>
      <c r="E25" s="5" t="s">
        <v>95</v>
      </c>
      <c r="F25" s="5" t="s">
        <v>96</v>
      </c>
    </row>
    <row r="26" spans="1:6" ht="17" x14ac:dyDescent="0.2">
      <c r="A26" s="1">
        <f t="shared" si="0"/>
        <v>25</v>
      </c>
      <c r="B26" s="2" t="s">
        <v>50</v>
      </c>
      <c r="C26" s="8">
        <v>1</v>
      </c>
      <c r="D26" s="8" t="s">
        <v>104</v>
      </c>
      <c r="E26" s="2" t="s">
        <v>97</v>
      </c>
      <c r="F26" s="5" t="s">
        <v>98</v>
      </c>
    </row>
    <row r="27" spans="1:6" ht="170" x14ac:dyDescent="0.2">
      <c r="A27" s="1">
        <f t="shared" si="0"/>
        <v>26</v>
      </c>
      <c r="B27" s="2" t="s">
        <v>51</v>
      </c>
      <c r="C27" s="8">
        <v>120</v>
      </c>
      <c r="D27" s="8" t="s">
        <v>52</v>
      </c>
      <c r="E27" s="5" t="s">
        <v>99</v>
      </c>
      <c r="F27" s="5" t="s">
        <v>100</v>
      </c>
    </row>
    <row r="28" spans="1:6" x14ac:dyDescent="0.2">
      <c r="A28" s="1">
        <f t="shared" si="0"/>
        <v>27</v>
      </c>
    </row>
    <row r="29" spans="1:6" x14ac:dyDescent="0.2">
      <c r="A29" s="1">
        <f t="shared" si="0"/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MultiSpectLED-V3-BOM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Dr. John M Branning Jr.</cp:lastModifiedBy>
  <dcterms:created xsi:type="dcterms:W3CDTF">2025-09-04T14:59:44Z</dcterms:created>
  <dcterms:modified xsi:type="dcterms:W3CDTF">2026-09-16T19:26:38Z</dcterms:modified>
</cp:coreProperties>
</file>